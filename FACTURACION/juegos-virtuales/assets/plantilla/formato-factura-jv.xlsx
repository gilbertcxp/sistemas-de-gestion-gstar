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anchez\Downloads\"/>
    </mc:Choice>
  </mc:AlternateContent>
  <xr:revisionPtr revIDLastSave="0" documentId="8_{8E750AA3-05B5-4BC0-ABC1-CBA1F94E045C}" xr6:coauthVersionLast="47" xr6:coauthVersionMax="47" xr10:uidLastSave="{00000000-0000-0000-0000-000000000000}"/>
  <bookViews>
    <workbookView xWindow="-108" yWindow="-108" windowWidth="23256" windowHeight="12456" xr2:uid="{93814A4F-AE03-47B0-B453-C05DEF5BA9B4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3" i="1" l="1"/>
  <c r="C24" i="1"/>
  <c r="E25" i="1"/>
  <c r="C26" i="1"/>
  <c r="E26" i="1"/>
  <c r="E10" i="1" s="1"/>
  <c r="E15" i="1"/>
  <c r="E16" i="1" l="1"/>
  <c r="E17" i="1" s="1"/>
  <c r="E20" i="1" l="1"/>
  <c r="E29" i="1" s="1"/>
  <c r="C20" i="1"/>
  <c r="C29" i="1" s="1"/>
</calcChain>
</file>

<file path=xl/sharedStrings.xml><?xml version="1.0" encoding="utf-8"?>
<sst xmlns="http://schemas.openxmlformats.org/spreadsheetml/2006/main" count="21" uniqueCount="18">
  <si>
    <t>MONTO NETO A PAGAR RAPID</t>
  </si>
  <si>
    <t>Monto DOP</t>
  </si>
  <si>
    <t>Venta Bruta</t>
  </si>
  <si>
    <t>(-) Pago de Premios (87.2%)</t>
  </si>
  <si>
    <t>(=) Resultado después de premios</t>
  </si>
  <si>
    <r>
      <t>Deducciones</t>
    </r>
    <r>
      <rPr>
        <b/>
        <sz val="12"/>
        <color theme="1"/>
        <rFont val="Aptos Narrow"/>
        <family val="2"/>
        <scheme val="minor"/>
      </rPr>
      <t>(Jackpot,Comision Banquera y Hipodromo)</t>
    </r>
  </si>
  <si>
    <t>Resultado</t>
  </si>
  <si>
    <t>OPERADOR</t>
  </si>
  <si>
    <t>GSTAR</t>
  </si>
  <si>
    <t>Distribución de resultados</t>
  </si>
  <si>
    <t>Deducciones</t>
  </si>
  <si>
    <t>(-) Jackpot Acumulado (1% Vta Bruta)</t>
  </si>
  <si>
    <t>(-) Hipódromo (1% Vta Bruta)</t>
  </si>
  <si>
    <t>(=) TOTAL</t>
  </si>
  <si>
    <t xml:space="preserve">OPERADOR </t>
  </si>
  <si>
    <t xml:space="preserve">GSTAR </t>
  </si>
  <si>
    <t>TOTAL A PAGAR</t>
  </si>
  <si>
    <t>(-) Comisión Agentes de ventas  (0.5% Vta Bruta)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</si>
</sst>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.00"/>
    <numFmt numFmtId="165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  <xf numFmtId="164" fontId="3" fillId="0" borderId="5" xfId="0" applyNumberFormat="1" applyFont="1" applyBorder="1" applyAlignment="1">
      <alignment horizontal="right"/>
    </xf>
    <xf numFmtId="0" fontId="0" fillId="0" borderId="5" xfId="0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64" fontId="0" fillId="0" borderId="0" xfId="0" applyNumberFormat="1"/>
    <xf numFmtId="164" fontId="0" fillId="0" borderId="6" xfId="0" applyNumberFormat="1" applyBorder="1"/>
    <xf numFmtId="0" fontId="3" fillId="0" borderId="4" xfId="0" applyFont="1" applyBorder="1"/>
    <xf numFmtId="164" fontId="3" fillId="0" borderId="0" xfId="0" applyNumberFormat="1" applyFont="1"/>
    <xf numFmtId="164" fontId="3" fillId="0" borderId="5" xfId="0" applyNumberFormat="1" applyFont="1" applyBorder="1"/>
    <xf numFmtId="43" fontId="3" fillId="0" borderId="0" xfId="1" applyFont="1" applyBorder="1"/>
    <xf numFmtId="164" fontId="4" fillId="0" borderId="7" xfId="1" applyNumberFormat="1" applyFont="1" applyBorder="1"/>
    <xf numFmtId="164" fontId="3" fillId="0" borderId="0" xfId="0" applyNumberFormat="1" applyFont="1" applyAlignment="1">
      <alignment horizontal="center"/>
    </xf>
    <xf numFmtId="0" fontId="3" fillId="0" borderId="8" xfId="0" applyFon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43" fontId="0" fillId="0" borderId="9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9" fontId="0" fillId="0" borderId="0" xfId="0" applyNumberFormat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0" fontId="0" fillId="0" borderId="9" xfId="0" applyBorder="1"/>
    <xf numFmtId="164" fontId="3" fillId="0" borderId="9" xfId="0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0" fillId="0" borderId="5" xfId="0" applyNumberFormat="1" applyBorder="1"/>
    <xf numFmtId="165" fontId="0" fillId="0" borderId="0" xfId="0" applyNumberFormat="1" applyAlignment="1">
      <alignment horizontal="center"/>
    </xf>
    <xf numFmtId="0" fontId="0" fillId="0" borderId="6" xfId="0" applyBorder="1"/>
    <xf numFmtId="164" fontId="0" fillId="0" borderId="7" xfId="0" applyNumberFormat="1" applyBorder="1"/>
    <xf numFmtId="0" fontId="3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164" fontId="3" fillId="0" borderId="6" xfId="0" applyNumberFormat="1" applyFont="1" applyBorder="1"/>
    <xf numFmtId="164" fontId="3" fillId="0" borderId="7" xfId="0" applyNumberFormat="1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1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0" xfId="0" applyFont="1"/>
    <xf numFmtId="0" fontId="3" fillId="0" borderId="0" xfId="0" applyFont="1"/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9" fontId="3" fillId="0" borderId="0" xfId="0" applyNumberFormat="1" applyFont="1" applyAlignment="1">
      <alignment horizontal="center"/>
    </xf>
    <xf numFmtId="0" fontId="3" fillId="0" borderId="0" xfId="0" applyFont="1" applyFill="1"/>
    <xf numFmtId="0" fontId="0" fillId="0" borderId="0" xfId="0" applyFill="1"/>
    <xf numFmtId="164" fontId="0" fillId="0" borderId="0" xfId="0" applyNumberFormat="1" applyFill="1"/>
    <xf numFmtId="164" fontId="0" fillId="0" borderId="0" xfId="0" applyNumberFormat="1" applyFill="1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164" fontId="3" fillId="0" borderId="0" xfId="0" applyNumberFormat="1" applyFont="1" applyFill="1"/>
    <xf numFmtId="0" fontId="5" fillId="0" borderId="0" xfId="0" applyFont="1" applyFill="1"/>
    <xf numFmtId="0" fontId="6" fillId="0" borderId="0" xfId="0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142522</xdr:colOff>
      <xdr:row>29</xdr:row>
      <xdr:rowOff>125024</xdr:rowOff>
    </xdr:from>
    <xdr:to>
      <xdr:col>4</xdr:col>
      <xdr:colOff>929640</xdr:colOff>
      <xdr:row>36</xdr:row>
      <xdr:rowOff>27824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78F157-706E-4B10-A216-AEEA23369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522" y="5710484"/>
          <a:ext cx="7972778" cy="1243920"/>
        </a:xfrm>
        <a:prstGeom prst="rect">
          <a:avLst/>
        </a:prstGeom>
      </xdr:spPr>
    </xdr:pic>
    <xdr:clientData/>
  </xdr:twoCellAnchor>
  <xdr:twoCellAnchor editAs="oneCell">
    <xdr:from>
      <xdr:col>2</xdr:col>
      <xdr:colOff>304800</xdr:colOff>
      <xdr:row>29</xdr:row>
      <xdr:rowOff>129540</xdr:rowOff>
    </xdr:from>
    <xdr:to>
      <xdr:col>2</xdr:col>
      <xdr:colOff>1188065</xdr:colOff>
      <xdr:row>33</xdr:row>
      <xdr:rowOff>137159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0B7379-FC62-4AAD-B0FA-6B8C5768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34940" y="5715000"/>
          <a:ext cx="883265" cy="78485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60961</xdr:colOff>
      <xdr:row>0</xdr:row>
      <xdr:rowOff>76201</xdr:rowOff>
    </xdr:from>
    <xdr:to>
      <xdr:col>5</xdr:col>
      <xdr:colOff>228600</xdr:colOff>
      <xdr:row>7</xdr:row>
      <xdr:rowOff>93944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91E188-DDCD-470D-8971-AF9D3DD97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1" y="76201"/>
          <a:ext cx="8343899" cy="1297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64F47-49AD-40A5-8837-8AF8BCFDEDC4}">
  <dimension ref="A1:E56"/>
  <sheetViews>
    <sheetView showGridLines="0" tabSelected="1" workbookViewId="0">
      <selection activeCell="H12" sqref="H12"/>
    </sheetView>
  </sheetViews>
  <sheetFormatPr baseColWidth="10" defaultRowHeight="14.4" x14ac:dyDescent="0.3"/>
  <cols>
    <col min="1" max="1" width="51.88671875" bestFit="1" customWidth="1"/>
    <col min="2" max="2" width="20" customWidth="1"/>
    <col min="3" max="3" width="28.33203125" bestFit="1" customWidth="1"/>
    <col min="4" max="4" width="4.5546875" bestFit="1" customWidth="1"/>
    <col min="5" max="5" width="14.44140625" bestFit="1" customWidth="1"/>
  </cols>
  <sheetData>
    <row r="1" spans="1:5" x14ac:dyDescent="0.3">
      <c r="B1" s="1"/>
    </row>
    <row r="2" spans="1:5" x14ac:dyDescent="0.3">
      <c r="B2" s="1"/>
    </row>
    <row r="3" spans="1:5" x14ac:dyDescent="0.3">
      <c r="B3" s="1"/>
    </row>
    <row r="4" spans="1:5" x14ac:dyDescent="0.3">
      <c r="B4" s="1"/>
    </row>
    <row r="5" spans="1:5" x14ac:dyDescent="0.3">
      <c r="B5" s="1"/>
    </row>
    <row r="6" spans="1:5" x14ac:dyDescent="0.3">
      <c r="B6" s="1"/>
    </row>
    <row r="7" spans="1:5" x14ac:dyDescent="0.3">
      <c r="B7" s="1"/>
    </row>
    <row r="8" spans="1:5" ht="21" x14ac:dyDescent="0.4">
      <c r="A8" s="2"/>
      <c r="B8" s="3"/>
      <c r="C8" s="3"/>
      <c r="D8" s="3"/>
      <c r="E8" s="4"/>
    </row>
    <row r="9" spans="1:5" x14ac:dyDescent="0.3">
      <c r="A9" s="5"/>
      <c r="B9" s="6"/>
      <c r="C9" s="7"/>
      <c r="D9" s="7"/>
      <c r="E9" s="8"/>
    </row>
    <row r="10" spans="1:5" ht="15.6" x14ac:dyDescent="0.3">
      <c r="A10" s="9"/>
      <c r="B10" s="1"/>
      <c r="C10" s="10" t="s">
        <v>0</v>
      </c>
      <c r="D10" s="11"/>
      <c r="E10" s="12">
        <f>+E26</f>
        <v>1044875.3</v>
      </c>
    </row>
    <row r="11" spans="1:5" x14ac:dyDescent="0.3">
      <c r="A11" s="9"/>
      <c r="B11" s="1"/>
      <c r="E11" s="13"/>
    </row>
    <row r="12" spans="1:5" ht="15.6" x14ac:dyDescent="0.3">
      <c r="A12" s="9"/>
      <c r="B12" s="1"/>
      <c r="C12" s="14" t="s">
        <v>1</v>
      </c>
      <c r="D12" s="14"/>
      <c r="E12" s="15" t="s">
        <v>1</v>
      </c>
    </row>
    <row r="13" spans="1:5" x14ac:dyDescent="0.3">
      <c r="A13" s="9" t="s">
        <v>2</v>
      </c>
      <c r="B13" s="1"/>
      <c r="C13" s="16">
        <v>52243765</v>
      </c>
      <c r="D13" s="16"/>
      <c r="E13" s="13"/>
    </row>
    <row r="14" spans="1:5" x14ac:dyDescent="0.3">
      <c r="A14" s="9" t="s">
        <v>3</v>
      </c>
      <c r="B14" s="1"/>
      <c r="C14" s="17">
        <v>46079624.520000003</v>
      </c>
      <c r="D14" s="16"/>
      <c r="E14" s="13"/>
    </row>
    <row r="15" spans="1:5" ht="15.6" x14ac:dyDescent="0.3">
      <c r="A15" s="18" t="s">
        <v>4</v>
      </c>
      <c r="B15" s="14"/>
      <c r="D15" s="19"/>
      <c r="E15" s="20">
        <f>C13-C14</f>
        <v>6164140.4799999967</v>
      </c>
    </row>
    <row r="16" spans="1:5" ht="15.6" x14ac:dyDescent="0.3">
      <c r="A16" s="9" t="s">
        <v>5</v>
      </c>
      <c r="B16" s="14"/>
      <c r="D16" s="21"/>
      <c r="E16" s="22">
        <f>-C26-E26</f>
        <v>-1306094.125</v>
      </c>
    </row>
    <row r="17" spans="1:5" ht="15.6" x14ac:dyDescent="0.3">
      <c r="A17" s="18" t="s">
        <v>6</v>
      </c>
      <c r="B17" s="1"/>
      <c r="E17" s="20">
        <f>+E15+E16</f>
        <v>4858046.3549999967</v>
      </c>
    </row>
    <row r="18" spans="1:5" ht="15.6" x14ac:dyDescent="0.3">
      <c r="A18" s="9"/>
      <c r="B18" s="1"/>
      <c r="E18" s="20"/>
    </row>
    <row r="19" spans="1:5" ht="15.6" x14ac:dyDescent="0.3">
      <c r="A19" s="9"/>
      <c r="B19" s="1"/>
      <c r="C19" s="23" t="s">
        <v>7</v>
      </c>
      <c r="D19" s="23"/>
      <c r="E19" s="15" t="s">
        <v>8</v>
      </c>
    </row>
    <row r="20" spans="1:5" ht="15.6" x14ac:dyDescent="0.3">
      <c r="A20" s="24" t="s">
        <v>9</v>
      </c>
      <c r="B20" s="25">
        <v>0.7</v>
      </c>
      <c r="C20" s="26">
        <f>+E17*0.7</f>
        <v>3400632.4484999976</v>
      </c>
      <c r="D20" s="25">
        <v>0.3</v>
      </c>
      <c r="E20" s="27">
        <f>+E17*0.3</f>
        <v>1457413.9064999989</v>
      </c>
    </row>
    <row r="21" spans="1:5" x14ac:dyDescent="0.3">
      <c r="A21" s="9"/>
      <c r="B21" s="28"/>
      <c r="C21" s="29"/>
      <c r="D21" s="28"/>
      <c r="E21" s="30"/>
    </row>
    <row r="22" spans="1:5" ht="15.6" x14ac:dyDescent="0.3">
      <c r="A22" s="24" t="s">
        <v>10</v>
      </c>
      <c r="B22" s="31"/>
      <c r="C22" s="32" t="s">
        <v>7</v>
      </c>
      <c r="D22" s="32"/>
      <c r="E22" s="33" t="s">
        <v>8</v>
      </c>
    </row>
    <row r="23" spans="1:5" x14ac:dyDescent="0.3">
      <c r="A23" s="9" t="s">
        <v>11</v>
      </c>
      <c r="B23" s="28">
        <v>0.01</v>
      </c>
      <c r="E23" s="34">
        <f>+C13*0.01</f>
        <v>522437.65</v>
      </c>
    </row>
    <row r="24" spans="1:5" x14ac:dyDescent="0.3">
      <c r="A24" s="9" t="s">
        <v>17</v>
      </c>
      <c r="B24" s="35">
        <v>5.0000000000000001E-3</v>
      </c>
      <c r="C24" s="16">
        <f>+C13*0.5%</f>
        <v>261218.82500000001</v>
      </c>
      <c r="D24" s="16"/>
      <c r="E24" s="13"/>
    </row>
    <row r="25" spans="1:5" x14ac:dyDescent="0.3">
      <c r="A25" s="9" t="s">
        <v>12</v>
      </c>
      <c r="B25" s="28">
        <v>0.01</v>
      </c>
      <c r="C25" s="36"/>
      <c r="D25" s="36"/>
      <c r="E25" s="37">
        <f>+C13*0.01</f>
        <v>522437.65</v>
      </c>
    </row>
    <row r="26" spans="1:5" ht="15.6" x14ac:dyDescent="0.3">
      <c r="A26" s="38" t="s">
        <v>13</v>
      </c>
      <c r="B26" s="39"/>
      <c r="C26" s="40">
        <f>SUM(C23:C25)</f>
        <v>261218.82500000001</v>
      </c>
      <c r="D26" s="40"/>
      <c r="E26" s="41">
        <f>SUM(E23:E25)</f>
        <v>1044875.3</v>
      </c>
    </row>
    <row r="27" spans="1:5" ht="15.6" x14ac:dyDescent="0.3">
      <c r="A27" s="14"/>
      <c r="B27" s="1"/>
      <c r="C27" s="19"/>
      <c r="D27" s="19"/>
      <c r="E27" s="19"/>
    </row>
    <row r="28" spans="1:5" ht="15.6" x14ac:dyDescent="0.3">
      <c r="B28" s="1"/>
      <c r="C28" s="42" t="s">
        <v>14</v>
      </c>
      <c r="D28" s="43"/>
      <c r="E28" s="44" t="s">
        <v>15</v>
      </c>
    </row>
    <row r="29" spans="1:5" ht="15.6" x14ac:dyDescent="0.3">
      <c r="A29" s="45" t="s">
        <v>16</v>
      </c>
      <c r="B29" s="46"/>
      <c r="C29" s="47">
        <f>+C20+C26</f>
        <v>3661851.2734999978</v>
      </c>
      <c r="D29" s="48"/>
      <c r="E29" s="41">
        <f>+E20+E26</f>
        <v>2502289.2064999989</v>
      </c>
    </row>
    <row r="30" spans="1:5" x14ac:dyDescent="0.3">
      <c r="B30" s="1"/>
    </row>
    <row r="31" spans="1:5" ht="15.6" x14ac:dyDescent="0.3">
      <c r="A31" s="49"/>
      <c r="B31" s="1"/>
      <c r="C31" s="19"/>
      <c r="D31" s="19"/>
      <c r="E31" s="19"/>
    </row>
    <row r="32" spans="1:5" ht="15.6" x14ac:dyDescent="0.3">
      <c r="A32" s="50"/>
      <c r="B32" s="51"/>
      <c r="C32" s="52"/>
      <c r="D32" s="16"/>
    </row>
    <row r="33" spans="1:4" ht="15.6" x14ac:dyDescent="0.3">
      <c r="A33" s="50"/>
      <c r="B33" s="50"/>
      <c r="C33" s="53"/>
      <c r="D33" s="19"/>
    </row>
    <row r="34" spans="1:4" ht="15.6" x14ac:dyDescent="0.3">
      <c r="A34" s="49"/>
      <c r="B34" s="54"/>
      <c r="C34" s="19"/>
      <c r="D34" s="19"/>
    </row>
    <row r="35" spans="1:4" x14ac:dyDescent="0.3">
      <c r="B35" s="28"/>
      <c r="C35" s="16"/>
      <c r="D35" s="16"/>
    </row>
    <row r="36" spans="1:4" x14ac:dyDescent="0.3">
      <c r="B36" s="28"/>
      <c r="C36" s="16"/>
      <c r="D36" s="16"/>
    </row>
    <row r="37" spans="1:4" ht="15.6" x14ac:dyDescent="0.3">
      <c r="A37" s="50"/>
      <c r="B37" s="51"/>
      <c r="C37" s="52"/>
      <c r="D37" s="16"/>
    </row>
    <row r="38" spans="1:4" ht="15.6" x14ac:dyDescent="0.3">
      <c r="A38" s="50"/>
      <c r="B38" s="51"/>
      <c r="C38" s="52"/>
      <c r="D38" s="16"/>
    </row>
    <row r="39" spans="1:4" ht="15.6" x14ac:dyDescent="0.3">
      <c r="A39" s="55"/>
      <c r="B39" s="56"/>
      <c r="C39" s="57"/>
      <c r="D39" s="58"/>
    </row>
    <row r="40" spans="1:4" ht="15.6" x14ac:dyDescent="0.3">
      <c r="A40" s="55"/>
      <c r="B40" s="56"/>
      <c r="C40" s="57"/>
      <c r="D40" s="58"/>
    </row>
    <row r="41" spans="1:4" x14ac:dyDescent="0.3">
      <c r="A41" s="59"/>
      <c r="B41" s="60"/>
      <c r="C41" s="58"/>
      <c r="D41" s="58"/>
    </row>
    <row r="42" spans="1:4" ht="15.6" x14ac:dyDescent="0.3">
      <c r="A42" s="61"/>
      <c r="B42" s="62"/>
      <c r="C42" s="63"/>
      <c r="D42" s="63"/>
    </row>
    <row r="43" spans="1:4" ht="15.6" x14ac:dyDescent="0.3">
      <c r="A43" s="64"/>
      <c r="B43" s="62"/>
      <c r="C43" s="63"/>
      <c r="D43" s="63"/>
    </row>
    <row r="44" spans="1:4" x14ac:dyDescent="0.3">
      <c r="A44" s="65"/>
      <c r="B44" s="60"/>
      <c r="C44" s="58"/>
      <c r="D44" s="58"/>
    </row>
    <row r="45" spans="1:4" ht="15.6" x14ac:dyDescent="0.3">
      <c r="A45" s="55"/>
      <c r="B45" s="56"/>
      <c r="C45" s="57"/>
      <c r="D45" s="58"/>
    </row>
    <row r="46" spans="1:4" ht="15.6" x14ac:dyDescent="0.3">
      <c r="A46" s="55"/>
      <c r="B46" s="56"/>
      <c r="C46" s="57"/>
      <c r="D46" s="58"/>
    </row>
    <row r="47" spans="1:4" x14ac:dyDescent="0.3">
      <c r="A47" s="59"/>
      <c r="B47" s="60"/>
      <c r="C47" s="58"/>
      <c r="D47" s="58"/>
    </row>
    <row r="48" spans="1:4" x14ac:dyDescent="0.3">
      <c r="A48" s="59"/>
      <c r="B48" s="60"/>
      <c r="C48" s="58"/>
      <c r="D48" s="58"/>
    </row>
    <row r="49" spans="1:4" x14ac:dyDescent="0.3">
      <c r="A49" s="59"/>
      <c r="B49" s="60"/>
      <c r="C49" s="58"/>
      <c r="D49" s="58"/>
    </row>
    <row r="50" spans="1:4" ht="15.6" x14ac:dyDescent="0.3">
      <c r="A50" s="61"/>
      <c r="B50" s="62"/>
      <c r="C50" s="63"/>
      <c r="D50" s="63"/>
    </row>
    <row r="51" spans="1:4" x14ac:dyDescent="0.3">
      <c r="B51" s="1"/>
    </row>
    <row r="52" spans="1:4" x14ac:dyDescent="0.3">
      <c r="B52" s="1"/>
    </row>
    <row r="53" spans="1:4" x14ac:dyDescent="0.3">
      <c r="B53" s="1"/>
    </row>
    <row r="54" spans="1:4" x14ac:dyDescent="0.3">
      <c r="B54" s="1"/>
    </row>
    <row r="55" spans="1:4" x14ac:dyDescent="0.3">
      <c r="B55" s="1"/>
    </row>
    <row r="56" spans="1:4" x14ac:dyDescent="0.3">
      <c r="B56" s="1"/>
    </row>
  </sheetData>
  <mergeCells count="10">
    <mergeCell ref="A39:C39"/>
    <mergeCell ref="A40:C40"/>
    <mergeCell ref="A45:C45"/>
    <mergeCell ref="A46:C46"/>
    <mergeCell ref="A8:E8"/>
    <mergeCell ref="A29:B29"/>
    <mergeCell ref="A32:C32"/>
    <mergeCell ref="A33:C33"/>
    <mergeCell ref="A37:C37"/>
    <mergeCell ref="A38:C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Sanchez</dc:creator>
  <cp:lastModifiedBy>Gilbert Sanchez</cp:lastModifiedBy>
  <dcterms:created xsi:type="dcterms:W3CDTF">2026-10-15T17:05:41Z</dcterms:created>
  <dcterms:modified xsi:type="dcterms:W3CDTF">2026-10-15T17:08:49Z</dcterms:modified>
</cp:coreProperties>
</file>